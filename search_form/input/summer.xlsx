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Medoctor\_internal\search_form\input\"/>
    </mc:Choice>
  </mc:AlternateContent>
  <xr:revisionPtr revIDLastSave="0" documentId="13_ncr:1_{2F56632F-041B-4389-9A0E-7FC59C1C4A4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C14" i="1"/>
  <c r="C15" i="1"/>
  <c r="C16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1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43" i="1"/>
  <c r="C10" i="1"/>
  <c r="C3" i="1"/>
  <c r="C4" i="1"/>
  <c r="C5" i="1"/>
  <c r="C6" i="1"/>
  <c r="C7" i="1"/>
  <c r="C8" i="1"/>
  <c r="C9" i="1"/>
  <c r="C11" i="1"/>
  <c r="C12" i="1"/>
  <c r="C2" i="1"/>
  <c r="D3" i="1" l="1"/>
</calcChain>
</file>

<file path=xl/sharedStrings.xml><?xml version="1.0" encoding="utf-8"?>
<sst xmlns="http://schemas.openxmlformats.org/spreadsheetml/2006/main" count="72" uniqueCount="72">
  <si>
    <t>Врач\анализ</t>
  </si>
  <si>
    <t>Сумма</t>
  </si>
  <si>
    <t>Соответствие</t>
  </si>
  <si>
    <t>СУММА</t>
  </si>
  <si>
    <t>Врач-стоматолог</t>
  </si>
  <si>
    <t>ОАК</t>
  </si>
  <si>
    <t>ОАМ</t>
  </si>
  <si>
    <t>Глюкоза</t>
  </si>
  <si>
    <t>Холестерин</t>
  </si>
  <si>
    <t>Взятие крови</t>
  </si>
  <si>
    <t>ФОГ</t>
  </si>
  <si>
    <t>ЭКГ</t>
  </si>
  <si>
    <t>Онкоцитология</t>
  </si>
  <si>
    <t>Мазок на флору</t>
  </si>
  <si>
    <t>Взятие мазка</t>
  </si>
  <si>
    <t>УЗИ малого таза</t>
  </si>
  <si>
    <t>Мамография</t>
  </si>
  <si>
    <t>Спирометрия</t>
  </si>
  <si>
    <t>Пульсоксиметрия</t>
  </si>
  <si>
    <t>Исследование уровня ретикулоцитов</t>
  </si>
  <si>
    <t>Исследование уровня метгемоглобина</t>
  </si>
  <si>
    <t>Визометрия</t>
  </si>
  <si>
    <t>Рентгенография длинных трубчатых костей</t>
  </si>
  <si>
    <t>Офтальмоскопия глазного дна</t>
  </si>
  <si>
    <t>Исследование уровня тромбоцитов</t>
  </si>
  <si>
    <t>Тональная пороговая аудиометрия</t>
  </si>
  <si>
    <t>Исследование уровня дельта аминолевулиновой кислоты или копропорфирина в моче</t>
  </si>
  <si>
    <t>УЗИ органов брюшной полости</t>
  </si>
  <si>
    <t>Исследование уровня карбоксигемоглобина</t>
  </si>
  <si>
    <t>Периметрия</t>
  </si>
  <si>
    <t>ВИЧ</t>
  </si>
  <si>
    <t>Реакция агглютинации Хеддельсона крови при контакте с возбудителями бруцеллеза</t>
  </si>
  <si>
    <t>АСТ</t>
  </si>
  <si>
    <t>АЛТ</t>
  </si>
  <si>
    <t>Билирубин</t>
  </si>
  <si>
    <t>щелочная фосфатаза</t>
  </si>
  <si>
    <t>Психофизиологическое исследование</t>
  </si>
  <si>
    <t>Рефрактометрия (или скиаскопия)</t>
  </si>
  <si>
    <t>УЗИ щитовидной железы</t>
  </si>
  <si>
    <t>Паллестезиметрия</t>
  </si>
  <si>
    <t>Исследование функции вестибулярного аппарата</t>
  </si>
  <si>
    <t>Определение бинокулярного зрения</t>
  </si>
  <si>
    <t xml:space="preserve"> Исследование аккомодации</t>
  </si>
  <si>
    <t>Исследование цветоощущения</t>
  </si>
  <si>
    <t>Непрямая ларингоскопия</t>
  </si>
  <si>
    <t>Эзофагогастродуоденоскопия</t>
  </si>
  <si>
    <t>Тонометрия</t>
  </si>
  <si>
    <t>Электроэнцефалография</t>
  </si>
  <si>
    <t>Поля зрения</t>
  </si>
  <si>
    <t>Исследование крови на сифилис</t>
  </si>
  <si>
    <t>Исследования на носительство возбудителей кишечных инфекций</t>
  </si>
  <si>
    <t>Исследования на гельминтозы</t>
  </si>
  <si>
    <t>Мазок из зева на наличие патогенного стафилококка при поступлении на работу</t>
  </si>
  <si>
    <t>Мазок из носа на наличие патогенного стафилококка при поступлении на работу</t>
  </si>
  <si>
    <t>Мазки на гонорею при поступлении на работу</t>
  </si>
  <si>
    <t>HBsAg</t>
  </si>
  <si>
    <t xml:space="preserve">анти-HCV-Ig </t>
  </si>
  <si>
    <t>анти-HBc-Ig</t>
  </si>
  <si>
    <t>Глазное давление</t>
  </si>
  <si>
    <t>серологическое обследование на брюшной тиф при поступлении на работу</t>
  </si>
  <si>
    <t>Биомикроскопия</t>
  </si>
  <si>
    <t>Врач-терапевт 2 каб</t>
  </si>
  <si>
    <t>Врач-профпатолог__ каб</t>
  </si>
  <si>
    <t>Врач-невролог 7 каб</t>
  </si>
  <si>
    <t>Врач-гинеколог 9 каб</t>
  </si>
  <si>
    <t>Врач-оториноларинголог 6 каб</t>
  </si>
  <si>
    <t>Врач-офтальмолог 4 каб</t>
  </si>
  <si>
    <t>a-HBCOR</t>
  </si>
  <si>
    <t>Врач-дерматовенеролог 9 каб</t>
  </si>
  <si>
    <t>Врач-хирург 8 каб</t>
  </si>
  <si>
    <t>Врач-психиатр 3 каб</t>
  </si>
  <si>
    <t>Врач-психиатр-нарколог 3 каб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</si>
</sst>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6"/>
      <color rgb="FF0061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F3F3F"/>
      </left>
      <right style="medium">
        <color rgb="FF3F3F3F"/>
      </right>
      <top style="medium">
        <color rgb="FF3F3F3F"/>
      </top>
      <bottom style="medium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4" fillId="0" borderId="0"/>
  </cellStyleXfs>
  <cellXfs count="8">
    <xf numFmtId="0" fontId="0" fillId="0" borderId="0" xfId="0"/>
    <xf numFmtId="0" fontId="2" fillId="3" borderId="1" xfId="2"/>
    <xf numFmtId="0" fontId="3" fillId="2" borderId="2" xfId="1" applyFont="1" applyBorder="1" applyAlignment="1">
      <alignment horizontal="center" vertical="center"/>
    </xf>
    <xf numFmtId="0" fontId="1" fillId="2" borderId="3" xfId="1" applyBorder="1"/>
    <xf numFmtId="0" fontId="0" fillId="0" borderId="0" xfId="0" applyAlignment="1">
      <alignment wrapText="1"/>
    </xf>
    <xf numFmtId="0" fontId="4" fillId="0" borderId="0" xfId="3"/>
    <xf numFmtId="0" fontId="2" fillId="4" borderId="4" xfId="0" applyFont="1" applyFill="1" applyBorder="1"/>
    <xf numFmtId="0" fontId="5" fillId="0" borderId="0" xfId="0" applyFont="1"/>
  </cellXfs>
  <cellStyles count="4">
    <cellStyle name="Вывод" xfId="2" builtinId="21"/>
    <cellStyle name="Обычный" xfId="0" builtinId="0"/>
    <cellStyle name="Обычный 2" xfId="3" xr:uid="{78027D09-5FCC-4DC1-A624-F66F953A909A}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D34B-FB7B-4C4D-BDE3-B4FDDB898AAC}"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B13" sqref="B13"/>
    </sheetView>
  </sheetViews>
  <sheetFormatPr defaultColWidth="13.42578125" defaultRowHeight="15" x14ac:dyDescent="0.25"/>
  <cols>
    <col min="1" max="1" width="44.7109375" customWidth="1"/>
  </cols>
  <sheetData>
    <row r="1" spans="1:4" ht="21" customHeight="1" thickBot="1" x14ac:dyDescent="0.3">
      <c r="A1" s="1" t="s">
        <v>0</v>
      </c>
      <c r="B1" s="6" t="s">
        <v>1</v>
      </c>
      <c r="C1" s="1" t="s">
        <v>2</v>
      </c>
    </row>
    <row r="2" spans="1:4" ht="21" customHeight="1" thickBot="1" x14ac:dyDescent="0.3">
      <c r="A2" s="5" t="s">
        <v>61</v>
      </c>
      <c r="B2" s="7">
        <v>280</v>
      </c>
      <c r="C2" t="str">
        <f>IF(ISERROR(MATCH(A2,Sheet1!A:A,0))," ","+")</f>
        <v xml:space="preserve"> </v>
      </c>
      <c r="D2" s="2" t="s">
        <v>3</v>
      </c>
    </row>
    <row r="3" spans="1:4" ht="21" customHeight="1" thickBot="1" x14ac:dyDescent="0.3">
      <c r="A3" s="5" t="s">
        <v>70</v>
      </c>
      <c r="B3" s="7">
        <v>300</v>
      </c>
      <c r="C3" t="str">
        <f>IF(ISERROR(MATCH(A3,Sheet1!A:A,0))," ","+")</f>
        <v xml:space="preserve"> </v>
      </c>
      <c r="D3" s="3">
        <f>SUMIF(C:C,"+",B:B)</f>
        <v>0</v>
      </c>
    </row>
    <row r="4" spans="1:4" ht="21" customHeight="1" x14ac:dyDescent="0.25">
      <c r="A4" s="5" t="s">
        <v>71</v>
      </c>
      <c r="B4" s="7">
        <v>300</v>
      </c>
      <c r="C4" t="str">
        <f>IF(ISERROR(MATCH(A4,Sheet1!A:A,0))," ","+")</f>
        <v xml:space="preserve"> </v>
      </c>
    </row>
    <row r="5" spans="1:4" ht="21" customHeight="1" x14ac:dyDescent="0.25">
      <c r="A5" s="5" t="s">
        <v>62</v>
      </c>
      <c r="B5" s="7">
        <v>280</v>
      </c>
      <c r="C5" t="str">
        <f>IF(ISERROR(MATCH(A5,Sheet1!A:A,0))," ","+")</f>
        <v xml:space="preserve"> </v>
      </c>
    </row>
    <row r="6" spans="1:4" ht="21" customHeight="1" x14ac:dyDescent="0.25">
      <c r="A6" s="5" t="s">
        <v>63</v>
      </c>
      <c r="B6" s="7">
        <v>230</v>
      </c>
      <c r="C6" t="str">
        <f>IF(ISERROR(MATCH(A6,Sheet1!A:A,0))," ","+")</f>
        <v xml:space="preserve"> </v>
      </c>
    </row>
    <row r="7" spans="1:4" ht="21" customHeight="1" x14ac:dyDescent="0.25">
      <c r="A7" s="5" t="s">
        <v>64</v>
      </c>
      <c r="B7" s="7">
        <v>250</v>
      </c>
      <c r="C7" t="str">
        <f>IF(ISERROR(MATCH(A7,Sheet1!A:A,0))," ","+")</f>
        <v xml:space="preserve"> </v>
      </c>
    </row>
    <row r="8" spans="1:4" ht="21" customHeight="1" x14ac:dyDescent="0.25">
      <c r="A8" s="5" t="s">
        <v>65</v>
      </c>
      <c r="B8" s="7">
        <v>200</v>
      </c>
      <c r="C8" t="str">
        <f>IF(ISERROR(MATCH(A8,Sheet1!A:A,0))," ","+")</f>
        <v xml:space="preserve"> </v>
      </c>
    </row>
    <row r="9" spans="1:4" ht="21" customHeight="1" x14ac:dyDescent="0.25">
      <c r="A9" s="5" t="s">
        <v>68</v>
      </c>
      <c r="B9" s="7">
        <v>200</v>
      </c>
      <c r="C9" t="str">
        <f>IF(ISERROR(MATCH(A9,Sheet1!A:A,0))," ","+")</f>
        <v xml:space="preserve"> </v>
      </c>
    </row>
    <row r="10" spans="1:4" ht="21" customHeight="1" x14ac:dyDescent="0.25">
      <c r="A10" s="5" t="s">
        <v>66</v>
      </c>
      <c r="B10" s="7">
        <v>200</v>
      </c>
      <c r="C10" t="str">
        <f>IF(ISERROR(MATCH(A10,Sheet1!A:A,0))," ","+")</f>
        <v xml:space="preserve"> </v>
      </c>
    </row>
    <row r="11" spans="1:4" ht="21" customHeight="1" x14ac:dyDescent="0.25">
      <c r="A11" s="5" t="s">
        <v>69</v>
      </c>
      <c r="B11" s="7">
        <v>200</v>
      </c>
      <c r="C11" t="str">
        <f>IF(ISERROR(MATCH(A11,Sheet1!A:A,0))," ","+")</f>
        <v xml:space="preserve"> </v>
      </c>
    </row>
    <row r="12" spans="1:4" ht="21" customHeight="1" x14ac:dyDescent="0.25">
      <c r="A12" t="s">
        <v>4</v>
      </c>
      <c r="B12" s="7">
        <v>300</v>
      </c>
      <c r="C12" t="str">
        <f>IF(ISERROR(MATCH(A12,Sheet1!A:A,0))," ","+")</f>
        <v xml:space="preserve"> </v>
      </c>
    </row>
    <row r="13" spans="1:4" ht="21" customHeight="1" x14ac:dyDescent="0.25">
      <c r="A13" t="s">
        <v>5</v>
      </c>
      <c r="B13" s="7">
        <v>370</v>
      </c>
      <c r="C13" t="str">
        <f>IF(ISERROR(MATCH(A13,Sheet1!C:C,0))," ","+")</f>
        <v xml:space="preserve"> </v>
      </c>
    </row>
    <row r="14" spans="1:4" ht="21" customHeight="1" x14ac:dyDescent="0.25">
      <c r="A14" t="s">
        <v>6</v>
      </c>
      <c r="B14" s="7">
        <v>140</v>
      </c>
      <c r="C14" t="str">
        <f>IF(ISERROR(MATCH(A14,Sheet1!C:C,0))," ","+")</f>
        <v xml:space="preserve"> </v>
      </c>
    </row>
    <row r="15" spans="1:4" ht="21" customHeight="1" x14ac:dyDescent="0.25">
      <c r="A15" t="s">
        <v>7</v>
      </c>
      <c r="B15" s="7">
        <v>160</v>
      </c>
      <c r="C15" t="str">
        <f>IF(ISERROR(MATCH(A15,Sheet1!C:C,0))," ","+")</f>
        <v xml:space="preserve"> </v>
      </c>
    </row>
    <row r="16" spans="1:4" ht="21" customHeight="1" x14ac:dyDescent="0.25">
      <c r="A16" t="s">
        <v>8</v>
      </c>
      <c r="B16" s="7">
        <v>185</v>
      </c>
      <c r="C16" t="str">
        <f>IF(ISERROR(MATCH(A16,Sheet1!C:C,0))," ","+")</f>
        <v xml:space="preserve"> </v>
      </c>
    </row>
    <row r="17" spans="1:3" ht="21" customHeight="1" x14ac:dyDescent="0.25">
      <c r="A17" t="s">
        <v>9</v>
      </c>
      <c r="B17" s="7">
        <v>170</v>
      </c>
      <c r="C17" t="str">
        <f>IF(ISERROR(MATCH(A17,Sheet1!C:C,0))," ","+")</f>
        <v xml:space="preserve"> </v>
      </c>
    </row>
    <row r="18" spans="1:3" ht="21" customHeight="1" x14ac:dyDescent="0.25">
      <c r="A18" t="s">
        <v>12</v>
      </c>
      <c r="B18" s="7">
        <v>570</v>
      </c>
      <c r="C18" t="str">
        <f>IF(ISERROR(MATCH(A18,Sheet1!C:C,0))," ","+")</f>
        <v xml:space="preserve"> </v>
      </c>
    </row>
    <row r="19" spans="1:3" ht="21" customHeight="1" x14ac:dyDescent="0.25">
      <c r="A19" t="s">
        <v>13</v>
      </c>
      <c r="B19" s="7">
        <v>350</v>
      </c>
      <c r="C19" t="str">
        <f>IF(ISERROR(MATCH(A19,Sheet1!C:C,0))," ","+")</f>
        <v xml:space="preserve"> </v>
      </c>
    </row>
    <row r="20" spans="1:3" ht="21" customHeight="1" x14ac:dyDescent="0.25">
      <c r="A20" t="s">
        <v>14</v>
      </c>
      <c r="B20" s="7">
        <v>170</v>
      </c>
      <c r="C20" t="str">
        <f>IF(ISERROR(MATCH(A20,Sheet1!C:C,0))," ","+")</f>
        <v xml:space="preserve"> </v>
      </c>
    </row>
    <row r="21" spans="1:3" ht="21" customHeight="1" x14ac:dyDescent="0.25">
      <c r="A21" t="s">
        <v>19</v>
      </c>
      <c r="B21" s="7">
        <v>170</v>
      </c>
      <c r="C21" t="str">
        <f>IF(ISERROR(MATCH(A21,Sheet1!C:C,0))," ","+")</f>
        <v xml:space="preserve"> </v>
      </c>
    </row>
    <row r="22" spans="1:3" ht="21" customHeight="1" x14ac:dyDescent="0.25">
      <c r="A22" t="s">
        <v>20</v>
      </c>
      <c r="B22" s="7">
        <v>850</v>
      </c>
      <c r="C22" t="str">
        <f>IF(ISERROR(MATCH(A22,Sheet1!C:C,0))," ","+")</f>
        <v xml:space="preserve"> </v>
      </c>
    </row>
    <row r="23" spans="1:3" ht="21" customHeight="1" x14ac:dyDescent="0.25">
      <c r="A23" t="s">
        <v>24</v>
      </c>
      <c r="B23" s="7">
        <v>245</v>
      </c>
      <c r="C23" t="str">
        <f>IF(ISERROR(MATCH(A23,Sheet1!C:C,0))," ","+")</f>
        <v xml:space="preserve"> </v>
      </c>
    </row>
    <row r="24" spans="1:3" ht="31.5" customHeight="1" x14ac:dyDescent="0.25">
      <c r="A24" s="4" t="s">
        <v>26</v>
      </c>
      <c r="B24" s="7">
        <v>800</v>
      </c>
      <c r="C24" t="str">
        <f>IF(ISERROR(MATCH(A24,Sheet1!C:C,0))," ","+")</f>
        <v xml:space="preserve"> </v>
      </c>
    </row>
    <row r="25" spans="1:3" ht="21" customHeight="1" x14ac:dyDescent="0.25">
      <c r="A25" t="s">
        <v>28</v>
      </c>
      <c r="B25" s="7">
        <v>850</v>
      </c>
      <c r="C25" t="str">
        <f>IF(ISERROR(MATCH(A25,Sheet1!C:C,0))," ","+")</f>
        <v xml:space="preserve"> </v>
      </c>
    </row>
    <row r="26" spans="1:3" ht="21" customHeight="1" x14ac:dyDescent="0.25">
      <c r="A26" t="s">
        <v>30</v>
      </c>
      <c r="B26" s="7">
        <v>355</v>
      </c>
      <c r="C26" t="str">
        <f>IF(ISERROR(MATCH(A26,Sheet1!C:C,0))," ","+")</f>
        <v xml:space="preserve"> </v>
      </c>
    </row>
    <row r="27" spans="1:3" ht="33" customHeight="1" x14ac:dyDescent="0.25">
      <c r="A27" s="4" t="s">
        <v>31</v>
      </c>
      <c r="B27" s="7">
        <v>0</v>
      </c>
      <c r="C27" t="str">
        <f>IF(ISERROR(MATCH(A27,Sheet1!C:C,0))," ","+")</f>
        <v xml:space="preserve"> </v>
      </c>
    </row>
    <row r="28" spans="1:3" ht="21" customHeight="1" x14ac:dyDescent="0.25">
      <c r="A28" t="s">
        <v>32</v>
      </c>
      <c r="B28" s="7">
        <v>200</v>
      </c>
      <c r="C28" t="str">
        <f>IF(ISERROR(MATCH(A28,Sheet1!C:C,0))," ","+")</f>
        <v xml:space="preserve"> </v>
      </c>
    </row>
    <row r="29" spans="1:3" ht="21" customHeight="1" x14ac:dyDescent="0.25">
      <c r="A29" t="s">
        <v>33</v>
      </c>
      <c r="B29" s="7">
        <v>200</v>
      </c>
      <c r="C29" t="str">
        <f>IF(ISERROR(MATCH(A29,Sheet1!C:C,0))," ","+")</f>
        <v xml:space="preserve"> </v>
      </c>
    </row>
    <row r="30" spans="1:3" ht="21" customHeight="1" x14ac:dyDescent="0.25">
      <c r="A30" t="s">
        <v>34</v>
      </c>
      <c r="B30" s="7">
        <v>200</v>
      </c>
      <c r="C30" t="str">
        <f>IF(ISERROR(MATCH(A30,Sheet1!C:C,0))," ","+")</f>
        <v xml:space="preserve"> </v>
      </c>
    </row>
    <row r="31" spans="1:3" ht="45" customHeight="1" x14ac:dyDescent="0.25">
      <c r="A31" t="s">
        <v>35</v>
      </c>
      <c r="B31" s="7">
        <v>200</v>
      </c>
      <c r="C31" t="str">
        <f>IF(ISERROR(MATCH(A31,Sheet1!C:C,0))," ","+")</f>
        <v xml:space="preserve"> </v>
      </c>
    </row>
    <row r="32" spans="1:3" ht="33.75" customHeight="1" x14ac:dyDescent="0.25">
      <c r="A32" t="s">
        <v>49</v>
      </c>
      <c r="B32" s="7">
        <v>180</v>
      </c>
      <c r="C32" t="str">
        <f>IF(ISERROR(MATCH(A32,Sheet1!C:C,0))," ","+")</f>
        <v xml:space="preserve"> </v>
      </c>
    </row>
    <row r="33" spans="1:3" ht="46.5" customHeight="1" x14ac:dyDescent="0.25">
      <c r="A33" s="4" t="s">
        <v>50</v>
      </c>
      <c r="B33" s="7">
        <v>850</v>
      </c>
      <c r="C33" t="str">
        <f>IF(ISERROR(MATCH(A33,Sheet1!C:C,0))," ","+")</f>
        <v xml:space="preserve"> </v>
      </c>
    </row>
    <row r="34" spans="1:3" ht="40.5" customHeight="1" x14ac:dyDescent="0.25">
      <c r="A34" s="4" t="s">
        <v>59</v>
      </c>
      <c r="B34" s="7">
        <v>590</v>
      </c>
      <c r="C34" t="str">
        <f>IF(ISERROR(MATCH(A34,Sheet1!C:C,0))," ","+")</f>
        <v xml:space="preserve"> </v>
      </c>
    </row>
    <row r="35" spans="1:3" ht="21" customHeight="1" x14ac:dyDescent="0.25">
      <c r="A35" t="s">
        <v>51</v>
      </c>
      <c r="B35" s="7">
        <v>300</v>
      </c>
      <c r="C35" t="str">
        <f>IF(ISERROR(MATCH(A35,Sheet1!C:C,0))," ","+")</f>
        <v xml:space="preserve"> </v>
      </c>
    </row>
    <row r="36" spans="1:3" ht="56.25" customHeight="1" x14ac:dyDescent="0.25">
      <c r="A36" s="4" t="s">
        <v>52</v>
      </c>
      <c r="B36" s="7">
        <v>360</v>
      </c>
      <c r="C36" t="str">
        <f>IF(ISERROR(MATCH(A36,Sheet1!C:C,0))," ","+")</f>
        <v xml:space="preserve"> </v>
      </c>
    </row>
    <row r="37" spans="1:3" ht="48.75" customHeight="1" x14ac:dyDescent="0.25">
      <c r="A37" s="4" t="s">
        <v>53</v>
      </c>
      <c r="B37" s="7">
        <v>360</v>
      </c>
      <c r="C37" t="str">
        <f>IF(ISERROR(MATCH(A37,Sheet1!C:C,0))," ","+")</f>
        <v xml:space="preserve"> </v>
      </c>
    </row>
    <row r="38" spans="1:3" ht="21" customHeight="1" x14ac:dyDescent="0.25">
      <c r="A38" t="s">
        <v>54</v>
      </c>
      <c r="B38" s="7">
        <v>450</v>
      </c>
      <c r="C38" t="str">
        <f>IF(ISERROR(MATCH(A38,Sheet1!C:C,0))," ","+")</f>
        <v xml:space="preserve"> </v>
      </c>
    </row>
    <row r="39" spans="1:3" ht="21" customHeight="1" x14ac:dyDescent="0.25">
      <c r="A39" t="s">
        <v>55</v>
      </c>
      <c r="B39" s="7">
        <v>235</v>
      </c>
      <c r="C39" t="str">
        <f>IF(ISERROR(MATCH(A39,Sheet1!C:C,0))," ","+")</f>
        <v xml:space="preserve"> </v>
      </c>
    </row>
    <row r="40" spans="1:3" ht="21" customHeight="1" x14ac:dyDescent="0.25">
      <c r="A40" t="s">
        <v>67</v>
      </c>
      <c r="B40" s="7">
        <v>565</v>
      </c>
      <c r="C40" t="str">
        <f>IF(ISERROR(MATCH(A40,Sheet1!C:C,0))," ","+")</f>
        <v xml:space="preserve"> </v>
      </c>
    </row>
    <row r="41" spans="1:3" ht="21" customHeight="1" x14ac:dyDescent="0.25">
      <c r="A41" t="s">
        <v>56</v>
      </c>
      <c r="B41" s="7">
        <v>355</v>
      </c>
      <c r="C41" t="str">
        <f>IF(ISERROR(MATCH(A41,Sheet1!C:C,0))," ","+")</f>
        <v xml:space="preserve"> </v>
      </c>
    </row>
    <row r="42" spans="1:3" ht="21" customHeight="1" x14ac:dyDescent="0.25">
      <c r="A42" t="s">
        <v>57</v>
      </c>
      <c r="B42" s="7">
        <v>565</v>
      </c>
      <c r="C42" t="str">
        <f>IF(ISERROR(MATCH(A42,Sheet1!C:C,0))," ","+")</f>
        <v xml:space="preserve"> </v>
      </c>
    </row>
    <row r="43" spans="1:3" ht="21" customHeight="1" x14ac:dyDescent="0.25">
      <c r="A43" t="s">
        <v>10</v>
      </c>
      <c r="B43" s="7">
        <v>700</v>
      </c>
      <c r="C43" t="str">
        <f>IF(ISERROR(MATCH(A43,Sheet1!B:B,0))," ","+")</f>
        <v xml:space="preserve"> </v>
      </c>
    </row>
    <row r="44" spans="1:3" ht="21" customHeight="1" x14ac:dyDescent="0.25">
      <c r="A44" t="s">
        <v>58</v>
      </c>
      <c r="B44" s="7">
        <v>120</v>
      </c>
      <c r="C44" t="str">
        <f>IF(ISERROR(MATCH(A44,Sheet1!B:B,0))," ","+")</f>
        <v xml:space="preserve"> </v>
      </c>
    </row>
    <row r="45" spans="1:3" ht="21" customHeight="1" x14ac:dyDescent="0.25">
      <c r="A45" t="s">
        <v>11</v>
      </c>
      <c r="B45" s="7">
        <v>280</v>
      </c>
      <c r="C45" t="str">
        <f>IF(ISERROR(MATCH(A45,Sheet1!B:B,0))," ","+")</f>
        <v xml:space="preserve"> </v>
      </c>
    </row>
    <row r="46" spans="1:3" ht="35.25" customHeight="1" x14ac:dyDescent="0.25">
      <c r="A46" t="s">
        <v>15</v>
      </c>
      <c r="B46" s="7">
        <v>1200</v>
      </c>
      <c r="C46" t="str">
        <f>IF(ISERROR(MATCH(A46,Sheet1!B:B,0))," ","+")</f>
        <v xml:space="preserve"> </v>
      </c>
    </row>
    <row r="47" spans="1:3" ht="38.25" customHeight="1" x14ac:dyDescent="0.25">
      <c r="A47" t="s">
        <v>16</v>
      </c>
      <c r="B47" s="7">
        <v>950</v>
      </c>
      <c r="C47" t="str">
        <f>IF(ISERROR(MATCH(A47,Sheet1!B:B,0))," ","+")</f>
        <v xml:space="preserve"> </v>
      </c>
    </row>
    <row r="48" spans="1:3" ht="21" customHeight="1" x14ac:dyDescent="0.25">
      <c r="A48" t="s">
        <v>17</v>
      </c>
      <c r="B48" s="7">
        <v>370</v>
      </c>
      <c r="C48" t="str">
        <f>IF(ISERROR(MATCH(A48,Sheet1!B:B,0))," ","+")</f>
        <v xml:space="preserve"> </v>
      </c>
    </row>
    <row r="49" spans="1:3" ht="33.75" customHeight="1" x14ac:dyDescent="0.25">
      <c r="A49" t="s">
        <v>18</v>
      </c>
      <c r="B49" s="7">
        <v>100</v>
      </c>
      <c r="C49" t="str">
        <f>IF(ISERROR(MATCH(A49,Sheet1!B:B,0))," ","+")</f>
        <v xml:space="preserve"> </v>
      </c>
    </row>
    <row r="50" spans="1:3" ht="33.75" customHeight="1" x14ac:dyDescent="0.25">
      <c r="A50" t="s">
        <v>60</v>
      </c>
      <c r="B50" s="7">
        <v>150</v>
      </c>
      <c r="C50" t="str">
        <f>IF(ISERROR(MATCH(A50,Sheet1!B:B,0))," ","+")</f>
        <v xml:space="preserve"> </v>
      </c>
    </row>
    <row r="51" spans="1:3" ht="21" customHeight="1" x14ac:dyDescent="0.25">
      <c r="A51" t="s">
        <v>21</v>
      </c>
      <c r="B51" s="7">
        <v>180</v>
      </c>
      <c r="C51" t="str">
        <f>IF(ISERROR(MATCH(A51,Sheet1!B:B,0))," ","+")</f>
        <v xml:space="preserve"> </v>
      </c>
    </row>
    <row r="52" spans="1:3" x14ac:dyDescent="0.25">
      <c r="A52" t="s">
        <v>22</v>
      </c>
      <c r="B52" s="7">
        <v>1000</v>
      </c>
      <c r="C52" t="str">
        <f>IF(ISERROR(MATCH(A52,Sheet1!B:B,0))," ","+")</f>
        <v xml:space="preserve"> </v>
      </c>
    </row>
    <row r="53" spans="1:3" x14ac:dyDescent="0.25">
      <c r="A53" t="s">
        <v>23</v>
      </c>
      <c r="B53" s="7">
        <v>150</v>
      </c>
      <c r="C53" t="str">
        <f>IF(ISERROR(MATCH(A53,Sheet1!B:B,0))," ","+")</f>
        <v xml:space="preserve"> </v>
      </c>
    </row>
    <row r="54" spans="1:3" x14ac:dyDescent="0.25">
      <c r="A54" t="s">
        <v>25</v>
      </c>
      <c r="B54" s="7">
        <v>440</v>
      </c>
      <c r="C54" t="str">
        <f>IF(ISERROR(MATCH(A54,Sheet1!B:B,0))," ","+")</f>
        <v xml:space="preserve"> </v>
      </c>
    </row>
    <row r="55" spans="1:3" x14ac:dyDescent="0.25">
      <c r="A55" t="s">
        <v>27</v>
      </c>
      <c r="B55" s="7">
        <v>1700</v>
      </c>
      <c r="C55" t="str">
        <f>IF(ISERROR(MATCH(A55,Sheet1!B:B,0))," ","+")</f>
        <v xml:space="preserve"> </v>
      </c>
    </row>
    <row r="56" spans="1:3" x14ac:dyDescent="0.25">
      <c r="A56" t="s">
        <v>29</v>
      </c>
      <c r="B56" s="7">
        <v>150</v>
      </c>
      <c r="C56" t="str">
        <f>IF(ISERROR(MATCH(A56,Sheet1!B:B,0))," ","+")</f>
        <v xml:space="preserve"> </v>
      </c>
    </row>
    <row r="57" spans="1:3" x14ac:dyDescent="0.25">
      <c r="A57" t="s">
        <v>36</v>
      </c>
      <c r="B57" s="7">
        <v>0</v>
      </c>
      <c r="C57" t="str">
        <f>IF(ISERROR(MATCH(A57,Sheet1!B:B,0))," ","+")</f>
        <v xml:space="preserve"> </v>
      </c>
    </row>
    <row r="58" spans="1:3" x14ac:dyDescent="0.25">
      <c r="A58" t="s">
        <v>37</v>
      </c>
      <c r="B58" s="7">
        <v>150</v>
      </c>
      <c r="C58" t="str">
        <f>IF(ISERROR(MATCH(A58,Sheet1!B:B,0))," ","+")</f>
        <v xml:space="preserve"> </v>
      </c>
    </row>
    <row r="59" spans="1:3" x14ac:dyDescent="0.25">
      <c r="A59" t="s">
        <v>38</v>
      </c>
      <c r="B59" s="7">
        <v>950</v>
      </c>
      <c r="C59" t="str">
        <f>IF(ISERROR(MATCH(A59,Sheet1!B:B,0))," ","+")</f>
        <v xml:space="preserve"> </v>
      </c>
    </row>
    <row r="60" spans="1:3" x14ac:dyDescent="0.25">
      <c r="A60" t="s">
        <v>39</v>
      </c>
      <c r="B60" s="7">
        <v>0</v>
      </c>
      <c r="C60" t="str">
        <f>IF(ISERROR(MATCH(A60,Sheet1!B:B,0))," ","+")</f>
        <v xml:space="preserve"> </v>
      </c>
    </row>
    <row r="61" spans="1:3" x14ac:dyDescent="0.25">
      <c r="A61" t="s">
        <v>40</v>
      </c>
      <c r="B61" s="7">
        <v>170</v>
      </c>
      <c r="C61" t="str">
        <f>IF(ISERROR(MATCH(A61,Sheet1!B:B,0))," ","+")</f>
        <v xml:space="preserve"> </v>
      </c>
    </row>
    <row r="62" spans="1:3" x14ac:dyDescent="0.25">
      <c r="A62" t="s">
        <v>41</v>
      </c>
      <c r="B62" s="7">
        <v>80</v>
      </c>
      <c r="C62" t="str">
        <f>IF(ISERROR(MATCH(A62,Sheet1!B:B,0))," ","+")</f>
        <v xml:space="preserve"> </v>
      </c>
    </row>
    <row r="63" spans="1:3" x14ac:dyDescent="0.25">
      <c r="A63" t="s">
        <v>42</v>
      </c>
      <c r="B63" s="7">
        <v>80</v>
      </c>
      <c r="C63" t="str">
        <f>IF(ISERROR(MATCH(A63,Sheet1!B:B,0))," ","+")</f>
        <v xml:space="preserve"> </v>
      </c>
    </row>
    <row r="64" spans="1:3" x14ac:dyDescent="0.25">
      <c r="A64" t="s">
        <v>43</v>
      </c>
      <c r="B64" s="7">
        <v>180</v>
      </c>
      <c r="C64" t="str">
        <f>IF(ISERROR(MATCH(A64,Sheet1!B:B,0))," ","+")</f>
        <v xml:space="preserve"> </v>
      </c>
    </row>
    <row r="65" spans="1:3" x14ac:dyDescent="0.25">
      <c r="A65" t="s">
        <v>44</v>
      </c>
      <c r="B65" s="7">
        <v>100</v>
      </c>
      <c r="C65" t="str">
        <f>IF(ISERROR(MATCH(A65,Sheet1!B:B,0))," ","+")</f>
        <v xml:space="preserve"> </v>
      </c>
    </row>
    <row r="66" spans="1:3" x14ac:dyDescent="0.25">
      <c r="A66" t="s">
        <v>45</v>
      </c>
      <c r="B66" s="7">
        <v>2750</v>
      </c>
      <c r="C66" t="str">
        <f>IF(ISERROR(MATCH(A66,Sheet1!B:B,0))," ","+")</f>
        <v xml:space="preserve"> </v>
      </c>
    </row>
    <row r="67" spans="1:3" x14ac:dyDescent="0.25">
      <c r="A67" t="s">
        <v>46</v>
      </c>
      <c r="B67" s="7">
        <v>110</v>
      </c>
      <c r="C67" t="str">
        <f>IF(ISERROR(MATCH(A67,Sheet1!B:B,0))," ","+")</f>
        <v xml:space="preserve"> </v>
      </c>
    </row>
    <row r="68" spans="1:3" x14ac:dyDescent="0.25">
      <c r="A68" t="s">
        <v>47</v>
      </c>
      <c r="B68" s="7">
        <v>1300</v>
      </c>
      <c r="C68" t="str">
        <f>IF(ISERROR(MATCH(A68,Sheet1!B:B,0))," ","+")</f>
        <v xml:space="preserve"> </v>
      </c>
    </row>
    <row r="69" spans="1:3" x14ac:dyDescent="0.25">
      <c r="A69" t="s">
        <v>48</v>
      </c>
      <c r="B69" s="7">
        <v>150</v>
      </c>
      <c r="C69" t="str">
        <f>IF(ISERROR(MATCH(A69,Sheet1!B:B,0))," ","+")</f>
        <v xml:space="preserve"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SVA</cp:lastModifiedBy>
  <dcterms:created xsi:type="dcterms:W3CDTF">2023-06-20T21:18:50Z</dcterms:created>
  <dcterms:modified xsi:type="dcterms:W3CDTF">2025-10-12T13:34:03Z</dcterms:modified>
</cp:coreProperties>
</file>